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uu_s\Downloads\"/>
    </mc:Choice>
  </mc:AlternateContent>
  <xr:revisionPtr revIDLastSave="0" documentId="13_ncr:1_{B0B8725C-0BF4-4D08-B51A-2BFC142419FE}" xr6:coauthVersionLast="47" xr6:coauthVersionMax="47" xr10:uidLastSave="{00000000-0000-0000-0000-000000000000}"/>
  <bookViews>
    <workbookView xWindow="-108" yWindow="-108" windowWidth="23256" windowHeight="12456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8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7" i="3" l="1"/>
  <c r="E36" i="3"/>
  <c r="E25" i="3"/>
</calcChain>
</file>

<file path=xl/sharedStrings.xml><?xml version="1.0" encoding="utf-8"?>
<sst xmlns="http://schemas.openxmlformats.org/spreadsheetml/2006/main" count="2031" uniqueCount="326">
  <si>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</si>
  <si>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</si>
  <si>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</si>
  <si>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</si>
  <si>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</si>
  <si>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</si>
  <si>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</si>
  <si>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</si>
  <si>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</si>
  <si>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</si>
  <si>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</si>
  <si>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</si>
  <si>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</si>
  <si>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</si>
  <si>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</si>
  <si>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</si>
  <si>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</si>
  <si>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</si>
  <si>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</si>
  <si>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</si>
  <si>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</si>
  <si>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</si>
  <si>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</si>
  <si>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</si>
  <si>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</si>
  <si>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</si>
  <si>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</si>
  <si>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</si>
  <si>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</si>
  <si>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</si>
  <si>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</si>
  <si>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</si>
  <si>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</si>
  <si>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</si>
  <si>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</si>
  <si>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</si>
  <si>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</si>
  <si>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</si>
  <si>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</si>
  <si>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</si>
  <si>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</si>
  <si>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</si>
  <si>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</si>
  <si>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</si>
  <si>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</si>
  <si>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</si>
  <si>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</si>
  <si>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</si>
  <si>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</si>
  <si>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</si>
  <si>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</si>
  <si>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</si>
  <si>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</si>
  <si>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</si>
  <si>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</si>
  <si>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</si>
  <si>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</si>
  <si>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</si>
  <si>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</si>
  <si>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</si>
  <si>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</si>
  <si>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</si>
  <si>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</si>
  <si>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</si>
  <si>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</si>
  <si>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</si>
  <si>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</si>
  <si>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</si>
  <si>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</si>
  <si>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</si>
  <si>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</si>
  <si>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</si>
  <si>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</si>
  <si>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</si>
  <si>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</si>
  <si>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</si>
  <si>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</si>
  <si>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</si>
  <si>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</si>
  <si>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</si>
  <si>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</si>
  <si>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</si>
  <si>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</si>
  <si>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</si>
  <si>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</si>
  <si>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</si>
  <si>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</si>
  <si>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</si>
  <si>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</si>
  <si>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</si>
  <si>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</si>
  <si>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</si>
  <si>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</si>
  <si>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</si>
  <si>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</si>
  <si>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</si>
  <si>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</si>
  <si>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</si>
  <si>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</si>
  <si>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</si>
  <si>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</si>
  <si>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</si>
  <si>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</si>
  <si>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</si>
  <si>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</si>
  <si>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</si>
  <si>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</si>
  <si>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</si>
  <si>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</si>
  <si>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</si>
  <si>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</si>
  <si>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</si>
  <si>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</si>
  <si>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</si>
  <si>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</si>
  <si>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</si>
  <si>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</si>
  <si>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</si>
  <si>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</si>
  <si>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</si>
  <si>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</si>
  <si>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</si>
  <si>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</si>
  <si>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</si>
  <si>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</si>
  <si>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</si>
  <si>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</si>
  <si>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</si>
  <si>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</si>
  <si>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</si>
  <si>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</si>
  <si>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</si>
  <si>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</si>
  <si>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</si>
  <si>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</si>
  <si>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</si>
  <si>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</si>
  <si>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</si>
  <si>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</si>
  <si>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</si>
  <si>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</si>
  <si>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</si>
  <si>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</si>
  <si>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</si>
  <si>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</si>
  <si>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</si>
  <si>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</si>
  <si>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</si>
  <si>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</si>
  <si>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</si>
  <si>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</si>
  <si>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</si>
  <si>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</si>
  <si>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</si>
  <si>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</si>
  <si>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</si>
  <si>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</si>
  <si>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</si>
  <si>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</si>
  <si>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</si>
  <si>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</si>
  <si>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</si>
  <si>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</si>
  <si>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</si>
  <si>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</si>
  <si>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</si>
  <si>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</si>
  <si>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</si>
  <si>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</si>
  <si>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</si>
  <si>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</si>
  <si>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</si>
  <si>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</si>
  <si>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</si>
  <si>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</si>
  <si>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</si>
  <si>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</si>
  <si>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</si>
  <si>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</si>
  <si>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</si>
  <si>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</si>
  <si>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</si>
  <si>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</si>
  <si>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</si>
  <si>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</si>
  <si>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</si>
  <si>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</si>
  <si>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</si>
  <si>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</si>
  <si>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</si>
  <si>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</si>
  <si>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</si>
  <si>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</si>
  <si>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</si>
  <si>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</si>
  <si>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</si>
  <si>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</si>
  <si>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</si>
  <si>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</si>
  <si>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</si>
  <si>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</si>
  <si>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</si>
  <si>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</si>
  <si>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</si>
  <si>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</si>
  <si>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</si>
  <si>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</si>
  <si>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</si>
  <si>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</si>
  <si>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</si>
  <si>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</si>
  <si>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</si>
  <si>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</si>
  <si>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</si>
  <si>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</si>
  <si>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</si>
  <si>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</si>
  <si>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</si>
  <si>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</si>
  <si>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</si>
  <si>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</si>
  <si>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</si>
  <si>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</si>
  <si>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</si>
  <si>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</si>
  <si>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</si>
  <si>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</si>
  <si>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</si>
  <si>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</si>
  <si>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</si>
  <si>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</si>
  <si>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</si>
  <si>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</si>
  <si>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</si>
  <si>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</si>
  <si>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</si>
  <si>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</si>
  <si>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</si>
  <si>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</si>
  <si>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</si>
  <si>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</si>
  <si>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</si>
  <si>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</si>
  <si>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</si>
  <si>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</si>
  <si>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</si>
  <si>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</si>
  <si>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</si>
  <si>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</si>
  <si>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</si>
  <si>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</si>
  <si>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</si>
  <si>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</si>
  <si>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</si>
  <si>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</si>
  <si>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</si>
  <si>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</si>
  <si>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</si>
  <si>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</si>
  <si>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</si>
  <si>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</si>
  <si>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</si>
  <si>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</si>
  <si>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</si>
  <si>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</si>
  <si>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</si>
  <si>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</si>
  <si>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</si>
  <si>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</si>
  <si>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</si>
  <si>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</si>
  <si>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</si>
  <si>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</si>
  <si>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</si>
  <si>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</si>
  <si>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</si>
  <si>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</si>
  <si>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</si>
  <si>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</si>
  <si>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</si>
  <si>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</si>
  <si>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</si>
  <si>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</si>
  <si>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</si>
  <si>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</si>
  <si>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</si>
  <si>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</si>
  <si>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</si>
  <si>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</si>
  <si>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</si>
  <si>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</si>
  <si>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</si>
  <si>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</si>
  <si>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</si>
  <si>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</si>
  <si>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</si>
  <si>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</si>
  <si>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</si>
  <si>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</si>
  <si>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</si>
  <si>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</si>
  <si>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</si>
  <si>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</si>
  <si>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</si>
  <si>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</si>
  <si>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</si>
  <si>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</si>
  <si>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</si>
  <si>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</si>
  <si>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</si>
  <si>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</si>
  <si>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</si>
  <si>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</si>
  <si>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</si>
  <si>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</si>
  <si>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</si>
  <si>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Row Labels</t>
  </si>
  <si>
    <t>Soma de Total Value</t>
  </si>
  <si>
    <t>Grand Total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</si>
  <si>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</si>
  <si>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</si>
  <si>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</si>
  <si>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</si>
  <si>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>Pergunta Negócio 5 - Valor total em cupom usado em cada perfil de assinatura</t>
  </si>
  <si>
    <t>Sum of Coupon Value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</si>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</sst>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0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 (1).xlsx]C̳álculos!tbl_annual_total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22860</xdr:colOff>
      <xdr:row>22</xdr:row>
      <xdr:rowOff>167640</xdr:rowOff>
    </xdr:from>
    <xdr:to>
      <xdr:col>7</xdr:col>
      <xdr:colOff>96971</xdr:colOff>
      <xdr:row>29</xdr:row>
      <xdr:rowOff>180791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30F9DE2-9121-6624-DCA6-B52098A5B0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70860" y="4358640"/>
          <a:ext cx="1293311" cy="129331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49792" y="1159193"/>
          <a:ext cx="4672013" cy="159591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R$ 600,00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10</xdr:col>
      <xdr:colOff>507206</xdr:colOff>
      <xdr:row>6</xdr:row>
      <xdr:rowOff>61913</xdr:rowOff>
    </xdr:from>
    <xdr:to>
      <xdr:col>18</xdr:col>
      <xdr:colOff>471487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  <a:ext uri="{147F2762-F138-4A5C-976F-8EAC2B608ADB}">
              <a16:predDERef xmlns:a16="http://schemas.microsoft.com/office/drawing/2014/main" pred="{876A8D1C-2608-8C6C-89D4-BAA9C31F449C}"/>
            </a:ext>
          </a:extLst>
        </xdr:cNvPr>
        <xdr:cNvGrpSpPr/>
      </xdr:nvGrpSpPr>
      <xdr:grpSpPr>
        <a:xfrm>
          <a:off x="7509986" y="1159193"/>
          <a:ext cx="4681061" cy="151971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R$ 940,00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69056</xdr:colOff>
      <xdr:row>17</xdr:row>
      <xdr:rowOff>35719</xdr:rowOff>
    </xdr:from>
    <xdr:to>
      <xdr:col>19</xdr:col>
      <xdr:colOff>211931</xdr:colOff>
      <xdr:row>34</xdr:row>
      <xdr:rowOff>95250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  <a:ext uri="{147F2762-F138-4A5C-976F-8EAC2B608ADB}">
              <a16:predDERef xmlns:a16="http://schemas.microsoft.com/office/drawing/2014/main" pred="{A41F36A7-AB9C-196A-291F-D90799A3B69C}"/>
            </a:ext>
          </a:extLst>
        </xdr:cNvPr>
        <xdr:cNvGrpSpPr/>
      </xdr:nvGrpSpPr>
      <xdr:grpSpPr>
        <a:xfrm>
          <a:off x="2195036" y="3030379"/>
          <a:ext cx="10346055" cy="316849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22/05/2026 16:00:00</a:t>
          </a:r>
        </a:p>
      </xdr:txBody>
    </xdr:sp>
    <xdr:clientData/>
  </xdr:twoCellAnchor>
  <xdr:twoCellAnchor>
    <xdr:from>
      <xdr:col>19</xdr:col>
      <xdr:colOff>415766</xdr:colOff>
      <xdr:row>6</xdr:row>
      <xdr:rowOff>52388</xdr:rowOff>
    </xdr:from>
    <xdr:to>
      <xdr:col>27</xdr:col>
      <xdr:colOff>402907</xdr:colOff>
      <xdr:row>15</xdr:row>
      <xdr:rowOff>40482</xdr:rowOff>
    </xdr:to>
    <xdr:grpSp>
      <xdr:nvGrpSpPr>
        <xdr:cNvPr id="4" name="Agrupar 19">
          <a:extLst>
            <a:ext uri="{FF2B5EF4-FFF2-40B4-BE49-F238E27FC236}">
              <a16:creationId xmlns:a16="http://schemas.microsoft.com/office/drawing/2014/main" id="{A0E9445C-3E1B-DEFB-7E64-C12F5DCDC155}"/>
            </a:ext>
          </a:extLst>
        </xdr:cNvPr>
        <xdr:cNvGrpSpPr/>
      </xdr:nvGrpSpPr>
      <xdr:grpSpPr>
        <a:xfrm>
          <a:off x="12744926" y="1149668"/>
          <a:ext cx="4863941" cy="1519714"/>
          <a:chOff x="2073517" y="1143000"/>
          <a:chExt cx="4677327" cy="1571625"/>
        </a:xfrm>
      </xdr:grpSpPr>
      <xdr:sp macro="" textlink="">
        <xdr:nvSpPr>
          <xdr:cNvPr id="11" name="Retângulo: Cantos Arredondados 20">
            <a:extLst>
              <a:ext uri="{FF2B5EF4-FFF2-40B4-BE49-F238E27FC236}">
                <a16:creationId xmlns:a16="http://schemas.microsoft.com/office/drawing/2014/main" id="{4B12E85E-F619-BD66-9DFB-28696F56E6AB}"/>
              </a:ext>
            </a:extLst>
          </xdr:cNvPr>
          <xdr:cNvSpPr/>
        </xdr:nvSpPr>
        <xdr:spPr>
          <a:xfrm>
            <a:off x="2073517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C47">
        <xdr:nvSpPr>
          <xdr:cNvPr id="12" name="Retângulo: Cantos Arredondados 21">
            <a:extLst>
              <a:ext uri="{FF2B5EF4-FFF2-40B4-BE49-F238E27FC236}">
                <a16:creationId xmlns:a16="http://schemas.microsoft.com/office/drawing/2014/main" id="{50499BED-94C6-D4D9-DBCD-60A13926202D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9E04BDAF-B7C9-4673-B853-BF4D160B328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R$ 476,00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sp macro="" textlink="">
        <xdr:nvSpPr>
          <xdr:cNvPr id="13" name="Retângulo: Cantos Superiores Arredondados 23">
            <a:extLst>
              <a:ext uri="{FF2B5EF4-FFF2-40B4-BE49-F238E27FC236}">
                <a16:creationId xmlns:a16="http://schemas.microsoft.com/office/drawing/2014/main" id="{0893EB78-3F6A-2639-AC03-56CB71C0E6E6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IN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CUPONS OFFERED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oneCell">
    <xdr:from>
      <xdr:col>20</xdr:col>
      <xdr:colOff>42387</xdr:colOff>
      <xdr:row>9</xdr:row>
      <xdr:rowOff>37149</xdr:rowOff>
    </xdr:from>
    <xdr:to>
      <xdr:col>21</xdr:col>
      <xdr:colOff>424339</xdr:colOff>
      <xdr:row>14</xdr:row>
      <xdr:rowOff>121921</xdr:rowOff>
    </xdr:to>
    <xdr:pic>
      <xdr:nvPicPr>
        <xdr:cNvPr id="23" name="Imagem 22">
          <a:extLst>
            <a:ext uri="{FF2B5EF4-FFF2-40B4-BE49-F238E27FC236}">
              <a16:creationId xmlns:a16="http://schemas.microsoft.com/office/drawing/2014/main" id="{FB4E05D2-2DAD-4C8E-8EDE-63A1943D9A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81147" y="1576389"/>
          <a:ext cx="991552" cy="991552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43CB0D-F717-4705-B903-45D0FF23FC3D}" name="PivotTable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43:C47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um of Coupon Value" fld="11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PivotTable1"/>
  </pivotTables>
  <data>
    <tabular pivotCacheId="176595658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14" zoomScaleNormal="100" workbookViewId="0">
      <selection activeCell="G29" sqref="G2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A2" sqref="A2:M29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47"/>
  <sheetViews>
    <sheetView showGridLines="0" topLeftCell="A28" workbookViewId="0">
      <selection activeCell="E47" sqref="E47"/>
    </sheetView>
  </sheetViews>
  <sheetFormatPr defaultRowHeight="14.4" x14ac:dyDescent="0.3"/>
  <cols>
    <col min="2" max="2" width="16.44140625" bestFit="1" customWidth="1"/>
    <col min="3" max="4" width="20.3320312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313</v>
      </c>
      <c r="C3" s="19"/>
      <c r="D3" s="19"/>
      <c r="E3" s="19"/>
      <c r="F3" s="19"/>
    </row>
    <row r="6" spans="2:6" x14ac:dyDescent="0.3">
      <c r="B6" t="s">
        <v>314</v>
      </c>
    </row>
    <row r="7" spans="2:6" x14ac:dyDescent="0.3">
      <c r="B7" t="s">
        <v>315</v>
      </c>
    </row>
    <row r="9" spans="2:6" x14ac:dyDescent="0.3">
      <c r="B9" s="12" t="s">
        <v>17</v>
      </c>
      <c r="C9" t="s">
        <v>31</v>
      </c>
    </row>
    <row r="11" spans="2:6" x14ac:dyDescent="0.3">
      <c r="B11" s="12" t="s">
        <v>316</v>
      </c>
      <c r="C11" t="s">
        <v>317</v>
      </c>
    </row>
    <row r="12" spans="2:6" x14ac:dyDescent="0.3">
      <c r="B12" s="14" t="s">
        <v>30</v>
      </c>
      <c r="C12" s="13">
        <v>217</v>
      </c>
    </row>
    <row r="13" spans="2:6" x14ac:dyDescent="0.3">
      <c r="B13" s="14" t="s">
        <v>26</v>
      </c>
      <c r="C13" s="13">
        <v>1537</v>
      </c>
    </row>
    <row r="14" spans="2:6" x14ac:dyDescent="0.3">
      <c r="B14" s="14" t="s">
        <v>318</v>
      </c>
      <c r="C14" s="13">
        <v>1754</v>
      </c>
    </row>
    <row r="17" spans="2:5" x14ac:dyDescent="0.3">
      <c r="B17" s="14" t="s">
        <v>319</v>
      </c>
    </row>
    <row r="19" spans="2:5" x14ac:dyDescent="0.3">
      <c r="B19" s="12" t="s">
        <v>17</v>
      </c>
      <c r="C19" t="s">
        <v>31</v>
      </c>
    </row>
    <row r="21" spans="2:5" x14ac:dyDescent="0.3">
      <c r="B21" s="12" t="s">
        <v>316</v>
      </c>
      <c r="C21" t="s">
        <v>320</v>
      </c>
    </row>
    <row r="22" spans="2:5" x14ac:dyDescent="0.3">
      <c r="B22" s="14" t="s">
        <v>29</v>
      </c>
      <c r="C22">
        <v>0</v>
      </c>
    </row>
    <row r="23" spans="2:5" x14ac:dyDescent="0.3">
      <c r="B23" s="14" t="s">
        <v>34</v>
      </c>
      <c r="C23">
        <v>0</v>
      </c>
    </row>
    <row r="24" spans="2:5" x14ac:dyDescent="0.3">
      <c r="B24" s="14" t="s">
        <v>25</v>
      </c>
      <c r="C24">
        <v>600</v>
      </c>
    </row>
    <row r="25" spans="2:5" x14ac:dyDescent="0.3">
      <c r="B25" s="14" t="s">
        <v>318</v>
      </c>
      <c r="C25">
        <v>600</v>
      </c>
      <c r="E25" s="16">
        <f>GETPIVOTDATA("EA Play Season Pass
Price",$B$21)</f>
        <v>600</v>
      </c>
    </row>
    <row r="28" spans="2:5" x14ac:dyDescent="0.3">
      <c r="B28" s="14" t="s">
        <v>321</v>
      </c>
    </row>
    <row r="30" spans="2:5" x14ac:dyDescent="0.3">
      <c r="B30" s="12" t="s">
        <v>17</v>
      </c>
      <c r="C30" t="s">
        <v>31</v>
      </c>
    </row>
    <row r="32" spans="2:5" x14ac:dyDescent="0.3">
      <c r="B32" s="12" t="s">
        <v>316</v>
      </c>
      <c r="C32" t="s">
        <v>322</v>
      </c>
    </row>
    <row r="33" spans="2:5" x14ac:dyDescent="0.3">
      <c r="B33" s="14" t="s">
        <v>29</v>
      </c>
      <c r="C33" s="13">
        <v>0</v>
      </c>
    </row>
    <row r="34" spans="2:5" x14ac:dyDescent="0.3">
      <c r="B34" s="14" t="s">
        <v>34</v>
      </c>
      <c r="C34" s="13">
        <v>540</v>
      </c>
    </row>
    <row r="35" spans="2:5" x14ac:dyDescent="0.3">
      <c r="B35" s="14" t="s">
        <v>25</v>
      </c>
      <c r="C35" s="13">
        <v>400</v>
      </c>
    </row>
    <row r="36" spans="2:5" x14ac:dyDescent="0.3">
      <c r="B36" s="14" t="s">
        <v>318</v>
      </c>
      <c r="C36" s="13">
        <v>940</v>
      </c>
      <c r="E36" s="16">
        <f>GETPIVOTDATA("Minecraft Season Pass Price",$B$32)</f>
        <v>940</v>
      </c>
    </row>
    <row r="39" spans="2:5" x14ac:dyDescent="0.3">
      <c r="B39" s="14" t="s">
        <v>323</v>
      </c>
    </row>
    <row r="41" spans="2:5" x14ac:dyDescent="0.3">
      <c r="B41" s="12" t="s">
        <v>17</v>
      </c>
      <c r="C41" t="s">
        <v>31</v>
      </c>
    </row>
    <row r="43" spans="2:5" x14ac:dyDescent="0.3">
      <c r="B43" s="12" t="s">
        <v>316</v>
      </c>
      <c r="C43" t="s">
        <v>324</v>
      </c>
    </row>
    <row r="44" spans="2:5" x14ac:dyDescent="0.3">
      <c r="B44" s="14" t="s">
        <v>29</v>
      </c>
      <c r="C44" s="13">
        <v>0</v>
      </c>
    </row>
    <row r="45" spans="2:5" x14ac:dyDescent="0.3">
      <c r="B45" s="14" t="s">
        <v>34</v>
      </c>
      <c r="C45" s="13">
        <v>362</v>
      </c>
    </row>
    <row r="46" spans="2:5" x14ac:dyDescent="0.3">
      <c r="B46" s="14" t="s">
        <v>25</v>
      </c>
      <c r="C46" s="13">
        <v>114</v>
      </c>
    </row>
    <row r="47" spans="2:5" x14ac:dyDescent="0.3">
      <c r="B47" s="14" t="s">
        <v>318</v>
      </c>
      <c r="C47" s="13">
        <v>476</v>
      </c>
      <c r="E47" s="16">
        <f>C47</f>
        <v>476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J2" sqref="J2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325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Karen - Orientadora EAD</cp:lastModifiedBy>
  <cp:revision/>
  <dcterms:created xsi:type="dcterms:W3CDTF">2024-12-19T13:13:10Z</dcterms:created>
  <dcterms:modified xsi:type="dcterms:W3CDTF">2026-05-22T19:21:01Z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